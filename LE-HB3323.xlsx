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1-ORÇAMENTOS\...Orçamentos 2026\#HB 3323 - ALMAH - PLAENGE - MARINGÁ - PR\04 - Engenharia - HB 3323\"/>
    </mc:Choice>
  </mc:AlternateContent>
  <xr:revisionPtr revIDLastSave="0" documentId="13_ncr:1_{0C6C41AA-4D95-418B-8343-4D09711238EC}" xr6:coauthVersionLast="47" xr6:coauthVersionMax="47" xr10:uidLastSave="{00000000-0000-0000-0000-000000000000}"/>
  <bookViews>
    <workbookView xWindow="-120" yWindow="-120" windowWidth="29040" windowHeight="15720" activeTab="2" xr2:uid="{C55B2209-22EA-44D9-ABBA-7853E421CE51}"/>
  </bookViews>
  <sheets>
    <sheet name="Geral" sheetId="1" r:id="rId1"/>
    <sheet name="Medição" sheetId="3" r:id="rId2"/>
    <sheet name="1ª Entrega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3" l="1"/>
  <c r="B41" i="3"/>
  <c r="B40" i="3"/>
  <c r="B39" i="3"/>
  <c r="B43" i="3" l="1"/>
</calcChain>
</file>

<file path=xl/sharedStrings.xml><?xml version="1.0" encoding="utf-8"?>
<sst xmlns="http://schemas.openxmlformats.org/spreadsheetml/2006/main" count="262" uniqueCount="158">
  <si>
    <t>ITEM</t>
  </si>
  <si>
    <t>Código</t>
  </si>
  <si>
    <t>Descrição</t>
  </si>
  <si>
    <t>QTD</t>
  </si>
  <si>
    <t>Registro de Tarefas e observações</t>
  </si>
  <si>
    <t>Maximo</t>
  </si>
  <si>
    <t>Minimo</t>
  </si>
  <si>
    <t>Diferença</t>
  </si>
  <si>
    <t>Item</t>
  </si>
  <si>
    <t>Andares</t>
  </si>
  <si>
    <t>Observação</t>
  </si>
  <si>
    <t>Pé Direito</t>
  </si>
  <si>
    <t>Piso</t>
  </si>
  <si>
    <t>P/P</t>
  </si>
  <si>
    <t>PEDIDO:</t>
  </si>
  <si>
    <t>TORRE 1</t>
  </si>
  <si>
    <t>Medida 
[mm]</t>
  </si>
  <si>
    <t>STATUS</t>
  </si>
  <si>
    <t>DESCRIÇÃO</t>
  </si>
  <si>
    <t>CONCLUSÃO</t>
  </si>
  <si>
    <t>REV.</t>
  </si>
  <si>
    <t>OBRA / CLIENTE</t>
  </si>
  <si>
    <t>MEDIDA 
(mm)</t>
  </si>
  <si>
    <t>DATA:</t>
  </si>
  <si>
    <t>1ª ENTREGA:</t>
  </si>
  <si>
    <t>REVISÃO</t>
  </si>
  <si>
    <t>CÓDIGO</t>
  </si>
  <si>
    <t>RESP. PELA VERIFICAÇÃO</t>
  </si>
  <si>
    <t>OBSERVAÇÕES</t>
  </si>
  <si>
    <t>REVISÕES DA LISTA (ENGENHARIA)</t>
  </si>
  <si>
    <t>INSPEÇÃO/ LIBERAÇÃO FINAL</t>
  </si>
  <si>
    <t>VERIFICAÇÃO PRODUÇÃO:</t>
  </si>
  <si>
    <t>INSPEÇÃO QUALIDADE:</t>
  </si>
  <si>
    <t>SUPERVISOR DA PRODUÇÃO:</t>
  </si>
  <si>
    <t>Térreo</t>
  </si>
  <si>
    <t>Pav 2</t>
  </si>
  <si>
    <t>Pav 3</t>
  </si>
  <si>
    <t>Pav 4</t>
  </si>
  <si>
    <t>Pav 5</t>
  </si>
  <si>
    <t>Pav 6</t>
  </si>
  <si>
    <t>Pav 7</t>
  </si>
  <si>
    <t>Pav 8</t>
  </si>
  <si>
    <t>Pav 9</t>
  </si>
  <si>
    <t>Pav 10</t>
  </si>
  <si>
    <t>Pav 11</t>
  </si>
  <si>
    <t>Pav 12</t>
  </si>
  <si>
    <t>Pav 13</t>
  </si>
  <si>
    <t>Pav 14</t>
  </si>
  <si>
    <t>Pav 15</t>
  </si>
  <si>
    <t>Pav 16</t>
  </si>
  <si>
    <t>Pav 17</t>
  </si>
  <si>
    <t>300-144</t>
  </si>
  <si>
    <t>Suporte L para fixação da prumada</t>
  </si>
  <si>
    <t>A</t>
  </si>
  <si>
    <t>Pav 1</t>
  </si>
  <si>
    <t>100-031</t>
  </si>
  <si>
    <t>Suporte Montado p/ Plugue 2 pinças até 250A</t>
  </si>
  <si>
    <t>300-115</t>
  </si>
  <si>
    <t>Garra de Aterramento</t>
  </si>
  <si>
    <t>Pav 18</t>
  </si>
  <si>
    <t>Todas as peças com porca torquimétrica.</t>
  </si>
  <si>
    <t>HB 3323</t>
  </si>
  <si>
    <t>ALMAH - Plaenge</t>
  </si>
  <si>
    <t>319-500</t>
  </si>
  <si>
    <t>Fixação de parede do BW</t>
  </si>
  <si>
    <t>319-501</t>
  </si>
  <si>
    <t>Pav 19</t>
  </si>
  <si>
    <t>Pav 20</t>
  </si>
  <si>
    <t>Pav 21</t>
  </si>
  <si>
    <t>Pav 22</t>
  </si>
  <si>
    <t>Pav 23</t>
  </si>
  <si>
    <t>Média do 1º ao 18º</t>
  </si>
  <si>
    <t>A01-HB3323</t>
  </si>
  <si>
    <t>FLP 60-100</t>
  </si>
  <si>
    <t>Flange Padrão - 1000A - Comp. 100</t>
  </si>
  <si>
    <t>A02-HB3323</t>
  </si>
  <si>
    <t>ER 60-3000</t>
  </si>
  <si>
    <t xml:space="preserve">Elemento Reto 1000A - Comp. 3000 </t>
  </si>
  <si>
    <t>A03-HB3323</t>
  </si>
  <si>
    <t>ER 60-2598</t>
  </si>
  <si>
    <t>Elemento Reto 1000A - Comp. 2598  - Fechamento</t>
  </si>
  <si>
    <t>A04-HB3323</t>
  </si>
  <si>
    <t>ED1 60-3000-300</t>
  </si>
  <si>
    <t>Elemento de Derivação 1000A - Comp. 3000 - Plugue 300</t>
  </si>
  <si>
    <t>A05-HB3323</t>
  </si>
  <si>
    <t>ER 60-1730</t>
  </si>
  <si>
    <t>Elemento Reto 1000A - Comp. 1730</t>
  </si>
  <si>
    <t>A06-HB3323</t>
  </si>
  <si>
    <t>RE 40-60-624-624</t>
  </si>
  <si>
    <t>Elemento de Redução 1000A/800A - Comp. 624 x 624</t>
  </si>
  <si>
    <t>A07-HB3323</t>
  </si>
  <si>
    <t>ER 40-3000</t>
  </si>
  <si>
    <t>Elemento Reto 800A - Comp. 3000</t>
  </si>
  <si>
    <t>A08-HB3323</t>
  </si>
  <si>
    <t>ER 40-2000</t>
  </si>
  <si>
    <t>Elemento Reto 800A - Comp. 2000</t>
  </si>
  <si>
    <t>A09-HB3323</t>
  </si>
  <si>
    <t>ED1 40-3000-300</t>
  </si>
  <si>
    <t>Elemento de Derivação  800A - Comp. 3000 - Plugue 300</t>
  </si>
  <si>
    <t>A10-HB3323</t>
  </si>
  <si>
    <t>ER 40-1750</t>
  </si>
  <si>
    <t>Elemento Reto 800A - Comp. 1750</t>
  </si>
  <si>
    <t>A11-HB3323</t>
  </si>
  <si>
    <t>EDF 40-2545-120</t>
  </si>
  <si>
    <t>Elemento de Derivação Final 800A - Comp. 2545 - Plugue 120</t>
  </si>
  <si>
    <t>M01-HB3323</t>
  </si>
  <si>
    <t>FLP 80-100</t>
  </si>
  <si>
    <t>Flange Padrão - 1250A - Comp. 100</t>
  </si>
  <si>
    <t>M02-HB3323</t>
  </si>
  <si>
    <t>ER 80-2785</t>
  </si>
  <si>
    <t>Elemento Reto 1250A - Comp. 2785 - Fechamento</t>
  </si>
  <si>
    <t>M03-HB3323</t>
  </si>
  <si>
    <t>CT2 80-185-185</t>
  </si>
  <si>
    <t>Cotovelo TipoII - 1250A - Comp. 185 x 185</t>
  </si>
  <si>
    <t>M04-HB3323</t>
  </si>
  <si>
    <t>CT1 80-200-200</t>
  </si>
  <si>
    <t>Cotovelo TipoI - 1250A - Comp. 200 x 200</t>
  </si>
  <si>
    <t>M05-HB3323</t>
  </si>
  <si>
    <t>ER 80-890</t>
  </si>
  <si>
    <t>Elemento Reto 1250A - Comp. 890 - Fechamento</t>
  </si>
  <si>
    <t>M06-HB3323</t>
  </si>
  <si>
    <t>M07-HB3323</t>
  </si>
  <si>
    <t>ER 80-3000</t>
  </si>
  <si>
    <t>Elemento Reto 1250A - Comp. 3000</t>
  </si>
  <si>
    <t>M08-HB3323</t>
  </si>
  <si>
    <t>ER 80-1750</t>
  </si>
  <si>
    <t>Elemento Reto 1250A - Comp. 1750 - Fechamento</t>
  </si>
  <si>
    <t>M09-HB3323</t>
  </si>
  <si>
    <t>ER 80-1500</t>
  </si>
  <si>
    <t>Elemento Reto 1250A - Comp. 1500</t>
  </si>
  <si>
    <t>M10-HB3323</t>
  </si>
  <si>
    <t>ER 80-1950</t>
  </si>
  <si>
    <t>Elemento Reto 1250A - Comp. 1950 - Fechamento</t>
  </si>
  <si>
    <t>M11-HB3323</t>
  </si>
  <si>
    <t>CT2 80-585-185</t>
  </si>
  <si>
    <t>Cotovelo TipoII - 1250A - Comp. 585 x 185</t>
  </si>
  <si>
    <t>M12-HB3323</t>
  </si>
  <si>
    <t>ER 80-1938</t>
  </si>
  <si>
    <t>Elemento Reto 1250A - Comp. 1938 - Fechamento</t>
  </si>
  <si>
    <t>M13-HB3323</t>
  </si>
  <si>
    <t>ED1 80-3000-300</t>
  </si>
  <si>
    <t>Elemento de Derivação 1250A - Comp. 3000 - Plugue 300</t>
  </si>
  <si>
    <t>M14-HB3323</t>
  </si>
  <si>
    <t>RE 60-80-624-624</t>
  </si>
  <si>
    <t>Elemento de Redução 1250A/1000A - Comp. 624 x 624</t>
  </si>
  <si>
    <t>M15-HB3323</t>
  </si>
  <si>
    <t>M16-HB3323</t>
  </si>
  <si>
    <t>ER 60-1960</t>
  </si>
  <si>
    <t>Elemento Reto 1000A - Comp. 1960</t>
  </si>
  <si>
    <t>M17-HB3323</t>
  </si>
  <si>
    <t>M18-HB3323</t>
  </si>
  <si>
    <t xml:space="preserve">Elemento Reto 1000A - Comp. 1730 </t>
  </si>
  <si>
    <t>M19-HB3323</t>
  </si>
  <si>
    <t>ER 60-1750</t>
  </si>
  <si>
    <t xml:space="preserve">Elemento Reto 1000A - Comp. 1750 </t>
  </si>
  <si>
    <t>M20-HB3323</t>
  </si>
  <si>
    <t>EDF 60-2545-120</t>
  </si>
  <si>
    <t>Elemento de Derivação Final 1000A - Comp. 2545 - Plugue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</si>
</sst>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0"/>
      <name val="Century Gothic"/>
      <family val="2"/>
    </font>
    <font>
      <b/>
      <sz val="14"/>
      <color theme="1"/>
      <name val="Century Gothic"/>
      <family val="2"/>
    </font>
    <font>
      <b/>
      <sz val="16"/>
      <color theme="1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4"/>
      <color theme="0"/>
      <name val="Century Gothic"/>
      <family val="2"/>
    </font>
    <font>
      <b/>
      <sz val="10"/>
      <color theme="0"/>
      <name val="Century Gothic"/>
      <family val="2"/>
    </font>
    <font>
      <b/>
      <sz val="16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indexed="64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indexed="64"/>
      </bottom>
      <diagonal/>
    </border>
    <border>
      <left/>
      <right/>
      <top style="medium">
        <color rgb="FF002060"/>
      </top>
      <bottom style="thin">
        <color indexed="64"/>
      </bottom>
      <diagonal/>
    </border>
    <border>
      <left/>
      <right style="medium">
        <color rgb="FF002060"/>
      </right>
      <top style="medium">
        <color rgb="FF002060"/>
      </top>
      <bottom style="thin">
        <color indexed="64"/>
      </bottom>
      <diagonal/>
    </border>
    <border>
      <left style="medium">
        <color rgb="FF0020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206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10" applyNumberFormat="0" applyFill="0" applyAlignment="0" applyProtection="0"/>
    <xf numFmtId="164" fontId="5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0" fillId="0" borderId="0" xfId="2" applyFont="1"/>
    <xf numFmtId="164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 wrapText="1"/>
    </xf>
    <xf numFmtId="0" fontId="14" fillId="5" borderId="26" xfId="0" applyFont="1" applyFill="1" applyBorder="1" applyAlignment="1">
      <alignment horizontal="center" vertical="center" wrapText="1"/>
    </xf>
    <xf numFmtId="0" fontId="15" fillId="5" borderId="27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6" fillId="0" borderId="48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3" fontId="0" fillId="0" borderId="24" xfId="0" applyNumberForma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0" borderId="10" xfId="1" applyFont="1" applyAlignment="1">
      <alignment horizontal="center" vertical="center"/>
    </xf>
    <xf numFmtId="0" fontId="6" fillId="0" borderId="1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4" borderId="44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entury Gothic"/>
        <family val="2"/>
        <scheme val="none"/>
      </font>
    </dxf>
    <dxf>
      <alignment horizontal="center" vertical="center" textRotation="0" wrapText="1" indent="0" justifyLastLine="0" shrinkToFit="0" readingOrder="0"/>
    </dxf>
    <dxf>
      <border>
        <bottom style="thin">
          <color rgb="FF002060"/>
        </bottom>
      </border>
    </dxf>
    <dxf>
      <font>
        <strike val="0"/>
        <outline val="0"/>
        <shadow val="0"/>
        <u val="none"/>
        <vertAlign val="baseline"/>
        <color theme="0"/>
        <name val="Century Gothic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40F29-582F-4B6C-AC5E-F02A3D93ACB9}" name="Tabela1" displayName="Tabela1" ref="A6:C14" totalsRowShown="0" headerRowDxfId="20" dataDxfId="19">
  <autoFilter ref="A6:C14" xr:uid="{12A84489-286D-440E-A66E-ED678DD1ED7E}"/>
  <tableColumns count="3">
    <tableColumn id="1" xr3:uid="{F30CE4B2-0F0E-485A-8D29-F31A865D250B}" name="CONCLUSÃO" dataDxfId="18"/>
    <tableColumn id="2" xr3:uid="{9D294FD7-6219-4DF1-BE16-0D55054A786B}" name="DESCRIÇÃO" dataDxfId="17"/>
    <tableColumn id="3" xr3:uid="{D4AA86E2-C989-462C-B523-5CDD18DB7B3A}" name="STATUS" dataDxfId="1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1F1EB0-7F00-475E-BEE2-D8C8A2AC51E8}" name="Tabela2" displayName="Tabela2" ref="E4:I75" totalsRowShown="0" headerRowDxfId="15" dataDxfId="14">
  <autoFilter ref="E4:I75" xr:uid="{04C45D6D-C024-440C-AE63-C6B32F36B82C}"/>
  <sortState xmlns:xlrd2="http://schemas.microsoft.com/office/spreadsheetml/2017/richdata2" ref="E5:I32">
    <sortCondition ref="E4:E32"/>
  </sortState>
  <tableColumns count="5">
    <tableColumn id="1" xr3:uid="{FB7B314A-362D-4CAB-99A6-20C027516DDA}" name="Item" dataDxfId="13"/>
    <tableColumn id="2" xr3:uid="{946E37D7-88DF-481B-8DFA-937F7AF4BAEA}" name="QTD" dataDxfId="12"/>
    <tableColumn id="3" xr3:uid="{C9D72FD2-C8D3-48AD-A8E7-9D264070D69B}" name="Código" dataDxfId="11"/>
    <tableColumn id="4" xr3:uid="{38F4C32F-7E81-4573-A386-185DFBEF9295}" name="Descrição" dataDxfId="10"/>
    <tableColumn id="5" xr3:uid="{EF4926BB-17EB-43C4-A899-084E44CEB41F}" name="Medida _x000a_[mm]" dataDxfId="9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14D43A-019A-43F4-90B3-6B10130DB253}" name="Tabela14546" displayName="Tabela14546" ref="A4:F35" headerRowDxfId="8" dataDxfId="6" headerRowBorderDxfId="7">
  <tableColumns count="6">
    <tableColumn id="1" xr3:uid="{0E63F3FC-2CC6-4DDF-BAE2-65A7AAD1CFCC}" name="ITEM" totalsRowLabel="Total" dataDxfId="5"/>
    <tableColumn id="5" xr3:uid="{390642FE-29DB-4DCA-9B70-E5271B7E0A79}" name="QTD" dataDxfId="4"/>
    <tableColumn id="2" xr3:uid="{F805CD63-7568-4A74-815E-B744CF264275}" name="CÓDIGO" dataDxfId="3"/>
    <tableColumn id="3" xr3:uid="{F574F3AC-BFF9-4B9B-8867-5F3044B81800}" name="DESCRIÇÃO" dataDxfId="2"/>
    <tableColumn id="4" xr3:uid="{162C0D26-8DFD-4EAF-B4EC-A788FDE084B7}" name="MEDIDA _x000a_(mm)" dataDxfId="1"/>
    <tableColumn id="7" xr3:uid="{2DF46203-4CB4-4939-8FCE-A7B190CC354A}" name="RESP. PELA VERIFICAÇÃO" totalsRowFunction="count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0EFE-A8B3-4F62-86FF-7598DA3E7A0C}">
  <sheetPr>
    <pageSetUpPr fitToPage="1"/>
  </sheetPr>
  <dimension ref="A1:K52"/>
  <sheetViews>
    <sheetView topLeftCell="C20" zoomScale="115" zoomScaleNormal="115" workbookViewId="0">
      <selection activeCell="E28" sqref="E28:I40"/>
    </sheetView>
  </sheetViews>
  <sheetFormatPr defaultColWidth="9.140625" defaultRowHeight="17.25" x14ac:dyDescent="0.3"/>
  <cols>
    <col min="1" max="1" width="20.140625" style="18" bestFit="1" customWidth="1"/>
    <col min="2" max="2" width="54.42578125" style="18" customWidth="1"/>
    <col min="3" max="3" width="23" style="18" bestFit="1" customWidth="1"/>
    <col min="4" max="4" width="13.5703125" style="18" customWidth="1"/>
    <col min="5" max="5" width="19.85546875" style="19" bestFit="1" customWidth="1"/>
    <col min="6" max="6" width="10.28515625" style="19" bestFit="1" customWidth="1"/>
    <col min="7" max="7" width="23" style="19" customWidth="1"/>
    <col min="8" max="8" width="67.5703125" style="19" bestFit="1" customWidth="1"/>
    <col min="9" max="9" width="14.5703125" style="19" bestFit="1" customWidth="1"/>
    <col min="10" max="10" width="2.7109375" style="18" customWidth="1"/>
    <col min="11" max="11" width="12.28515625" style="18" bestFit="1" customWidth="1"/>
    <col min="12" max="16384" width="9.140625" style="18"/>
  </cols>
  <sheetData>
    <row r="1" spans="1:9" x14ac:dyDescent="0.3">
      <c r="A1" s="59"/>
      <c r="B1" s="59"/>
      <c r="C1" s="59"/>
    </row>
    <row r="2" spans="1:9" x14ac:dyDescent="0.3">
      <c r="A2" s="59"/>
      <c r="B2" s="59"/>
      <c r="C2" s="59"/>
    </row>
    <row r="4" spans="1:9" ht="30.75" thickBot="1" x14ac:dyDescent="0.35">
      <c r="A4" s="57" t="s">
        <v>4</v>
      </c>
      <c r="B4" s="58"/>
      <c r="C4" s="58"/>
      <c r="E4" s="23" t="s">
        <v>8</v>
      </c>
      <c r="F4" s="23" t="s">
        <v>3</v>
      </c>
      <c r="G4" s="23" t="s">
        <v>1</v>
      </c>
      <c r="H4" s="23" t="s">
        <v>2</v>
      </c>
      <c r="I4" s="23" t="s">
        <v>16</v>
      </c>
    </row>
    <row r="5" spans="1:9" ht="18" thickTop="1" x14ac:dyDescent="0.3">
      <c r="E5" s="41" t="s">
        <v>72</v>
      </c>
      <c r="F5" s="41">
        <v>1</v>
      </c>
      <c r="G5" s="41" t="s">
        <v>73</v>
      </c>
      <c r="H5" s="41" t="s">
        <v>74</v>
      </c>
      <c r="I5" s="41"/>
    </row>
    <row r="6" spans="1:9" x14ac:dyDescent="0.3">
      <c r="A6" s="19" t="s">
        <v>19</v>
      </c>
      <c r="B6" s="19" t="s">
        <v>18</v>
      </c>
      <c r="C6" s="19" t="s">
        <v>17</v>
      </c>
      <c r="E6" s="41" t="s">
        <v>75</v>
      </c>
      <c r="F6" s="41">
        <v>3</v>
      </c>
      <c r="G6" s="41" t="s">
        <v>76</v>
      </c>
      <c r="H6" s="41" t="s">
        <v>77</v>
      </c>
      <c r="I6" s="41"/>
    </row>
    <row r="7" spans="1:9" x14ac:dyDescent="0.3">
      <c r="A7" s="20"/>
      <c r="E7" s="95" t="s">
        <v>78</v>
      </c>
      <c r="F7" s="95">
        <v>1</v>
      </c>
      <c r="G7" s="95" t="s">
        <v>79</v>
      </c>
      <c r="H7" s="95" t="s">
        <v>80</v>
      </c>
      <c r="I7" s="95"/>
    </row>
    <row r="8" spans="1:9" x14ac:dyDescent="0.3">
      <c r="A8" s="20"/>
      <c r="E8" s="41" t="s">
        <v>81</v>
      </c>
      <c r="F8" s="41">
        <v>3</v>
      </c>
      <c r="G8" s="41" t="s">
        <v>82</v>
      </c>
      <c r="H8" s="41" t="s">
        <v>83</v>
      </c>
      <c r="I8" s="41"/>
    </row>
    <row r="9" spans="1:9" x14ac:dyDescent="0.3">
      <c r="A9" s="21"/>
      <c r="E9" s="41" t="s">
        <v>84</v>
      </c>
      <c r="F9" s="41">
        <v>4</v>
      </c>
      <c r="G9" s="41" t="s">
        <v>85</v>
      </c>
      <c r="H9" s="41" t="s">
        <v>86</v>
      </c>
      <c r="I9" s="41"/>
    </row>
    <row r="10" spans="1:9" x14ac:dyDescent="0.3">
      <c r="A10" s="21"/>
      <c r="E10" s="41" t="s">
        <v>87</v>
      </c>
      <c r="F10" s="41">
        <v>1</v>
      </c>
      <c r="G10" s="41" t="s">
        <v>88</v>
      </c>
      <c r="H10" s="41" t="s">
        <v>89</v>
      </c>
      <c r="I10" s="41"/>
    </row>
    <row r="11" spans="1:9" x14ac:dyDescent="0.3">
      <c r="A11" s="22"/>
      <c r="B11" s="19"/>
      <c r="C11" s="19"/>
      <c r="E11" s="41" t="s">
        <v>90</v>
      </c>
      <c r="F11" s="41">
        <v>5</v>
      </c>
      <c r="G11" s="41" t="s">
        <v>91</v>
      </c>
      <c r="H11" s="41" t="s">
        <v>92</v>
      </c>
      <c r="I11" s="41"/>
    </row>
    <row r="12" spans="1:9" x14ac:dyDescent="0.3">
      <c r="A12" s="22"/>
      <c r="B12" s="22"/>
      <c r="C12" s="19"/>
      <c r="E12" s="41" t="s">
        <v>93</v>
      </c>
      <c r="F12" s="41">
        <v>1</v>
      </c>
      <c r="G12" s="41" t="s">
        <v>94</v>
      </c>
      <c r="H12" s="41" t="s">
        <v>95</v>
      </c>
      <c r="I12" s="41"/>
    </row>
    <row r="13" spans="1:9" x14ac:dyDescent="0.3">
      <c r="A13" s="22"/>
      <c r="B13" s="22"/>
      <c r="C13" s="19"/>
      <c r="E13" s="41" t="s">
        <v>96</v>
      </c>
      <c r="F13" s="41">
        <v>4</v>
      </c>
      <c r="G13" s="41" t="s">
        <v>97</v>
      </c>
      <c r="H13" s="41" t="s">
        <v>98</v>
      </c>
      <c r="I13" s="41"/>
    </row>
    <row r="14" spans="1:9" x14ac:dyDescent="0.3">
      <c r="A14" s="22"/>
      <c r="B14" s="22"/>
      <c r="C14" s="19"/>
      <c r="E14" s="41" t="s">
        <v>99</v>
      </c>
      <c r="F14" s="41">
        <v>8</v>
      </c>
      <c r="G14" s="41" t="s">
        <v>100</v>
      </c>
      <c r="H14" s="41" t="s">
        <v>101</v>
      </c>
      <c r="I14" s="41"/>
    </row>
    <row r="15" spans="1:9" ht="19.5" customHeight="1" x14ac:dyDescent="0.3">
      <c r="E15" s="41" t="s">
        <v>102</v>
      </c>
      <c r="F15" s="41">
        <v>1</v>
      </c>
      <c r="G15" s="41" t="s">
        <v>103</v>
      </c>
      <c r="H15" s="50" t="s">
        <v>104</v>
      </c>
      <c r="I15" s="41"/>
    </row>
    <row r="16" spans="1:9" x14ac:dyDescent="0.3">
      <c r="E16" s="41" t="s">
        <v>105</v>
      </c>
      <c r="F16" s="41">
        <v>1</v>
      </c>
      <c r="G16" s="41" t="s">
        <v>106</v>
      </c>
      <c r="H16" s="50" t="s">
        <v>107</v>
      </c>
      <c r="I16" s="41"/>
    </row>
    <row r="17" spans="1:11" x14ac:dyDescent="0.3">
      <c r="E17" s="96" t="s">
        <v>108</v>
      </c>
      <c r="F17" s="96">
        <v>1</v>
      </c>
      <c r="G17" s="96" t="s">
        <v>109</v>
      </c>
      <c r="H17" s="96" t="s">
        <v>110</v>
      </c>
      <c r="I17" s="97"/>
    </row>
    <row r="18" spans="1:11" x14ac:dyDescent="0.3">
      <c r="A18" s="23"/>
      <c r="B18" s="23"/>
      <c r="C18" s="23"/>
      <c r="D18" s="23"/>
      <c r="E18" s="17" t="s">
        <v>111</v>
      </c>
      <c r="F18" s="17">
        <v>1</v>
      </c>
      <c r="G18" s="17" t="s">
        <v>112</v>
      </c>
      <c r="H18" s="17" t="s">
        <v>113</v>
      </c>
    </row>
    <row r="19" spans="1:11" x14ac:dyDescent="0.3">
      <c r="A19" s="23"/>
      <c r="B19" s="23"/>
      <c r="C19" s="23"/>
      <c r="D19" s="23"/>
      <c r="E19" s="17" t="s">
        <v>114</v>
      </c>
      <c r="F19" s="17">
        <v>1</v>
      </c>
      <c r="G19" s="17" t="s">
        <v>115</v>
      </c>
      <c r="H19" s="17" t="s">
        <v>116</v>
      </c>
    </row>
    <row r="20" spans="1:11" x14ac:dyDescent="0.3">
      <c r="E20" s="96" t="s">
        <v>117</v>
      </c>
      <c r="F20" s="96">
        <v>1</v>
      </c>
      <c r="G20" s="96" t="s">
        <v>118</v>
      </c>
      <c r="H20" s="96" t="s">
        <v>119</v>
      </c>
      <c r="I20" s="97"/>
    </row>
    <row r="21" spans="1:11" x14ac:dyDescent="0.3">
      <c r="E21" s="17" t="s">
        <v>120</v>
      </c>
      <c r="F21" s="17">
        <v>3</v>
      </c>
      <c r="G21" s="17" t="s">
        <v>115</v>
      </c>
      <c r="H21" s="17" t="s">
        <v>116</v>
      </c>
    </row>
    <row r="22" spans="1:11" x14ac:dyDescent="0.3">
      <c r="E22" s="41" t="s">
        <v>121</v>
      </c>
      <c r="F22" s="41">
        <v>1</v>
      </c>
      <c r="G22" s="41" t="s">
        <v>122</v>
      </c>
      <c r="H22" s="41" t="s">
        <v>123</v>
      </c>
      <c r="I22" s="41"/>
    </row>
    <row r="23" spans="1:11" x14ac:dyDescent="0.3">
      <c r="E23" s="95" t="s">
        <v>124</v>
      </c>
      <c r="F23" s="95">
        <v>1</v>
      </c>
      <c r="G23" s="95" t="s">
        <v>125</v>
      </c>
      <c r="H23" s="95" t="s">
        <v>126</v>
      </c>
      <c r="I23" s="95"/>
    </row>
    <row r="24" spans="1:11" x14ac:dyDescent="0.3">
      <c r="E24" s="41" t="s">
        <v>127</v>
      </c>
      <c r="F24" s="41">
        <v>1</v>
      </c>
      <c r="G24" s="41" t="s">
        <v>128</v>
      </c>
      <c r="H24" s="41" t="s">
        <v>129</v>
      </c>
      <c r="I24" s="41"/>
    </row>
    <row r="25" spans="1:11" x14ac:dyDescent="0.3">
      <c r="E25" s="95" t="s">
        <v>130</v>
      </c>
      <c r="F25" s="95">
        <v>1</v>
      </c>
      <c r="G25" s="95" t="s">
        <v>131</v>
      </c>
      <c r="H25" s="95" t="s">
        <v>132</v>
      </c>
      <c r="I25" s="95"/>
    </row>
    <row r="26" spans="1:11" x14ac:dyDescent="0.3">
      <c r="E26" s="41" t="s">
        <v>133</v>
      </c>
      <c r="F26" s="41">
        <v>1</v>
      </c>
      <c r="G26" s="41" t="s">
        <v>134</v>
      </c>
      <c r="H26" s="41" t="s">
        <v>135</v>
      </c>
      <c r="I26" s="41"/>
    </row>
    <row r="27" spans="1:11" x14ac:dyDescent="0.3">
      <c r="E27" s="95" t="s">
        <v>136</v>
      </c>
      <c r="F27" s="95">
        <v>1</v>
      </c>
      <c r="G27" s="95" t="s">
        <v>137</v>
      </c>
      <c r="H27" s="95" t="s">
        <v>138</v>
      </c>
      <c r="I27" s="95"/>
    </row>
    <row r="28" spans="1:11" x14ac:dyDescent="0.3">
      <c r="E28" s="41" t="s">
        <v>139</v>
      </c>
      <c r="F28" s="17">
        <v>1</v>
      </c>
      <c r="G28" s="17" t="s">
        <v>140</v>
      </c>
      <c r="H28" s="17" t="s">
        <v>141</v>
      </c>
    </row>
    <row r="29" spans="1:11" x14ac:dyDescent="0.3">
      <c r="E29" s="41" t="s">
        <v>142</v>
      </c>
      <c r="F29" s="41">
        <v>1</v>
      </c>
      <c r="G29" s="41" t="s">
        <v>143</v>
      </c>
      <c r="H29" s="41" t="s">
        <v>144</v>
      </c>
      <c r="I29" s="41"/>
    </row>
    <row r="30" spans="1:11" x14ac:dyDescent="0.3">
      <c r="E30" s="41" t="s">
        <v>145</v>
      </c>
      <c r="F30" s="41">
        <v>7</v>
      </c>
      <c r="G30" s="41" t="s">
        <v>76</v>
      </c>
      <c r="H30" s="41" t="s">
        <v>77</v>
      </c>
      <c r="I30" s="41"/>
    </row>
    <row r="31" spans="1:11" x14ac:dyDescent="0.3">
      <c r="A31" s="23"/>
      <c r="B31" s="23"/>
      <c r="C31" s="23"/>
      <c r="D31" s="23"/>
      <c r="E31" s="41" t="s">
        <v>146</v>
      </c>
      <c r="F31" s="41">
        <v>1</v>
      </c>
      <c r="G31" s="41" t="s">
        <v>147</v>
      </c>
      <c r="H31" s="41" t="s">
        <v>148</v>
      </c>
      <c r="I31" s="41"/>
      <c r="K31" s="23"/>
    </row>
    <row r="32" spans="1:11" x14ac:dyDescent="0.3">
      <c r="E32" s="41" t="s">
        <v>149</v>
      </c>
      <c r="F32" s="41">
        <v>6</v>
      </c>
      <c r="G32" s="41" t="s">
        <v>82</v>
      </c>
      <c r="H32" s="41" t="s">
        <v>83</v>
      </c>
      <c r="I32" s="41"/>
      <c r="K32" s="23"/>
    </row>
    <row r="33" spans="5:11" x14ac:dyDescent="0.3">
      <c r="E33" s="41" t="s">
        <v>150</v>
      </c>
      <c r="F33" s="17">
        <v>2</v>
      </c>
      <c r="G33" s="17" t="s">
        <v>85</v>
      </c>
      <c r="H33" s="17" t="s">
        <v>151</v>
      </c>
      <c r="K33" s="23"/>
    </row>
    <row r="34" spans="5:11" x14ac:dyDescent="0.3">
      <c r="E34" s="41" t="s">
        <v>152</v>
      </c>
      <c r="F34" s="17">
        <v>10</v>
      </c>
      <c r="G34" s="17" t="s">
        <v>153</v>
      </c>
      <c r="H34" s="17" t="s">
        <v>154</v>
      </c>
      <c r="I34" s="17"/>
      <c r="K34" s="23"/>
    </row>
    <row r="35" spans="5:11" x14ac:dyDescent="0.3">
      <c r="E35" s="41" t="s">
        <v>155</v>
      </c>
      <c r="F35" s="17">
        <v>1</v>
      </c>
      <c r="G35" s="17" t="s">
        <v>156</v>
      </c>
      <c r="H35" s="17" t="s">
        <v>157</v>
      </c>
      <c r="K35" s="23"/>
    </row>
    <row r="36" spans="5:11" x14ac:dyDescent="0.3">
      <c r="E36" s="41" t="s">
        <v>55</v>
      </c>
      <c r="F36" s="41">
        <v>16</v>
      </c>
      <c r="G36" s="41" t="s">
        <v>55</v>
      </c>
      <c r="H36" s="41" t="s">
        <v>56</v>
      </c>
      <c r="K36" s="23"/>
    </row>
    <row r="37" spans="5:11" x14ac:dyDescent="0.3">
      <c r="E37" s="41"/>
      <c r="F37" s="41">
        <v>96</v>
      </c>
      <c r="G37" s="41" t="s">
        <v>51</v>
      </c>
      <c r="H37" s="41" t="s">
        <v>52</v>
      </c>
      <c r="K37" s="23"/>
    </row>
    <row r="38" spans="5:11" x14ac:dyDescent="0.3">
      <c r="E38" s="41"/>
      <c r="F38" s="41">
        <v>16</v>
      </c>
      <c r="G38" s="41" t="s">
        <v>57</v>
      </c>
      <c r="H38" s="41" t="s">
        <v>58</v>
      </c>
      <c r="K38" s="23"/>
    </row>
    <row r="39" spans="5:11" x14ac:dyDescent="0.3">
      <c r="E39" s="41"/>
      <c r="F39" s="41">
        <v>50</v>
      </c>
      <c r="G39" s="41" t="s">
        <v>63</v>
      </c>
      <c r="H39" s="41" t="s">
        <v>64</v>
      </c>
      <c r="K39" s="23"/>
    </row>
    <row r="40" spans="5:11" x14ac:dyDescent="0.3">
      <c r="E40" s="41"/>
      <c r="F40" s="41">
        <v>50</v>
      </c>
      <c r="G40" s="41" t="s">
        <v>65</v>
      </c>
      <c r="H40" s="41" t="s">
        <v>64</v>
      </c>
    </row>
    <row r="41" spans="5:11" x14ac:dyDescent="0.3">
      <c r="E41" s="40"/>
    </row>
    <row r="42" spans="5:11" x14ac:dyDescent="0.3">
      <c r="E42" s="40"/>
    </row>
    <row r="43" spans="5:11" x14ac:dyDescent="0.3">
      <c r="E43" s="40"/>
    </row>
    <row r="44" spans="5:11" x14ac:dyDescent="0.3">
      <c r="E44" s="40"/>
      <c r="F44" s="40"/>
      <c r="G44" s="40"/>
      <c r="H44" s="40"/>
      <c r="I44" s="40"/>
    </row>
    <row r="45" spans="5:11" x14ac:dyDescent="0.3">
      <c r="E45" s="40"/>
      <c r="F45" s="40"/>
      <c r="G45" s="40"/>
      <c r="H45" s="40"/>
      <c r="I45" s="40"/>
    </row>
    <row r="46" spans="5:11" x14ac:dyDescent="0.3">
      <c r="E46" s="40"/>
      <c r="F46" s="40"/>
      <c r="G46" s="40"/>
      <c r="H46" s="40"/>
      <c r="I46" s="40"/>
    </row>
    <row r="47" spans="5:11" x14ac:dyDescent="0.3">
      <c r="E47" s="40"/>
      <c r="F47" s="40"/>
      <c r="G47" s="40"/>
      <c r="H47" s="40"/>
      <c r="I47" s="40"/>
    </row>
    <row r="48" spans="5:11" x14ac:dyDescent="0.3">
      <c r="I48" s="41"/>
    </row>
    <row r="49" spans="9:9" x14ac:dyDescent="0.3">
      <c r="I49" s="41"/>
    </row>
    <row r="50" spans="9:9" x14ac:dyDescent="0.3">
      <c r="I50" s="41"/>
    </row>
    <row r="51" spans="9:9" x14ac:dyDescent="0.3">
      <c r="I51" s="41"/>
    </row>
    <row r="52" spans="9:9" x14ac:dyDescent="0.3">
      <c r="I52" s="41"/>
    </row>
  </sheetData>
  <mergeCells count="2">
    <mergeCell ref="A4:C4"/>
    <mergeCell ref="A1:C2"/>
  </mergeCells>
  <phoneticPr fontId="2" type="noConversion"/>
  <pageMargins left="0.25" right="0.25" top="0.75" bottom="0.75" header="0.3" footer="0.3"/>
  <pageSetup paperSize="9" scale="73" orientation="portrait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36B1-C00D-4A9B-9683-4245D0A49B00}">
  <dimension ref="A1:N46"/>
  <sheetViews>
    <sheetView topLeftCell="A6" zoomScaleNormal="100" workbookViewId="0">
      <selection activeCell="D23" sqref="D23"/>
    </sheetView>
  </sheetViews>
  <sheetFormatPr defaultRowHeight="15" x14ac:dyDescent="0.25"/>
  <cols>
    <col min="1" max="1" width="17.7109375" bestFit="1" customWidth="1"/>
    <col min="2" max="2" width="13.140625" customWidth="1"/>
    <col min="3" max="3" width="9.7109375" bestFit="1" customWidth="1"/>
    <col min="4" max="4" width="17.7109375" bestFit="1" customWidth="1"/>
    <col min="5" max="5" width="10.5703125" customWidth="1"/>
    <col min="6" max="6" width="7.140625" customWidth="1"/>
    <col min="7" max="7" width="11.85546875" customWidth="1"/>
    <col min="8" max="8" width="12.7109375" customWidth="1"/>
    <col min="9" max="9" width="9.7109375" bestFit="1" customWidth="1"/>
    <col min="10" max="10" width="4.5703125" bestFit="1" customWidth="1"/>
    <col min="11" max="11" width="7" bestFit="1" customWidth="1"/>
    <col min="12" max="12" width="8" customWidth="1"/>
    <col min="14" max="14" width="13.85546875" bestFit="1" customWidth="1"/>
    <col min="15" max="16" width="12.7109375" bestFit="1" customWidth="1"/>
    <col min="17" max="17" width="13.85546875" bestFit="1" customWidth="1"/>
    <col min="18" max="18" width="7.7109375" customWidth="1"/>
  </cols>
  <sheetData>
    <row r="1" spans="1:14" ht="15.75" thickBot="1" x14ac:dyDescent="0.3"/>
    <row r="2" spans="1:14" ht="15.75" thickBot="1" x14ac:dyDescent="0.3">
      <c r="A2" s="52" t="s">
        <v>15</v>
      </c>
      <c r="B2" s="53"/>
      <c r="C2" s="53"/>
      <c r="D2" s="54"/>
    </row>
    <row r="3" spans="1:14" ht="15.75" customHeight="1" x14ac:dyDescent="0.25">
      <c r="A3" s="8" t="s">
        <v>9</v>
      </c>
      <c r="B3" s="9" t="s">
        <v>11</v>
      </c>
      <c r="C3" s="9" t="s">
        <v>12</v>
      </c>
      <c r="D3" s="10" t="s">
        <v>13</v>
      </c>
      <c r="G3" s="27"/>
    </row>
    <row r="4" spans="1:14" x14ac:dyDescent="0.25">
      <c r="A4" s="11" t="s">
        <v>34</v>
      </c>
      <c r="B4" s="6"/>
      <c r="C4" s="6">
        <v>200</v>
      </c>
      <c r="D4" s="12">
        <v>5625</v>
      </c>
    </row>
    <row r="5" spans="1:14" x14ac:dyDescent="0.25">
      <c r="A5" s="11" t="s">
        <v>54</v>
      </c>
      <c r="B5" s="47"/>
      <c r="C5" s="6"/>
      <c r="D5" s="47">
        <v>3155</v>
      </c>
    </row>
    <row r="6" spans="1:14" x14ac:dyDescent="0.25">
      <c r="A6" s="11" t="s">
        <v>35</v>
      </c>
      <c r="B6" s="6"/>
      <c r="C6" s="6"/>
      <c r="D6" s="6">
        <v>3120</v>
      </c>
    </row>
    <row r="7" spans="1:14" x14ac:dyDescent="0.25">
      <c r="A7" s="11" t="s">
        <v>36</v>
      </c>
      <c r="B7" s="6"/>
      <c r="C7" s="6"/>
      <c r="D7" s="6">
        <v>3170</v>
      </c>
    </row>
    <row r="8" spans="1:14" x14ac:dyDescent="0.25">
      <c r="A8" s="11" t="s">
        <v>37</v>
      </c>
      <c r="B8" s="6"/>
      <c r="C8" s="6"/>
      <c r="D8" s="6">
        <v>3175</v>
      </c>
      <c r="K8" s="4"/>
      <c r="L8" s="4"/>
      <c r="M8" s="4"/>
      <c r="N8" s="5"/>
    </row>
    <row r="9" spans="1:14" x14ac:dyDescent="0.25">
      <c r="A9" s="11" t="s">
        <v>38</v>
      </c>
      <c r="B9" s="6"/>
      <c r="C9" s="6"/>
      <c r="D9" s="6">
        <v>3160</v>
      </c>
    </row>
    <row r="10" spans="1:14" x14ac:dyDescent="0.25">
      <c r="A10" s="11" t="s">
        <v>39</v>
      </c>
      <c r="B10" s="6"/>
      <c r="C10" s="6"/>
      <c r="D10" s="6">
        <v>3155</v>
      </c>
    </row>
    <row r="11" spans="1:14" x14ac:dyDescent="0.25">
      <c r="A11" s="11" t="s">
        <v>40</v>
      </c>
      <c r="B11" s="6"/>
      <c r="C11" s="6"/>
      <c r="D11" s="6">
        <v>3140</v>
      </c>
    </row>
    <row r="12" spans="1:14" x14ac:dyDescent="0.25">
      <c r="A12" s="11" t="s">
        <v>41</v>
      </c>
      <c r="B12" s="6"/>
      <c r="C12" s="6"/>
      <c r="D12" s="6">
        <v>3160</v>
      </c>
    </row>
    <row r="13" spans="1:14" x14ac:dyDescent="0.25">
      <c r="A13" s="11" t="s">
        <v>42</v>
      </c>
      <c r="B13" s="6"/>
      <c r="C13" s="6"/>
      <c r="D13" s="6">
        <v>3180</v>
      </c>
    </row>
    <row r="14" spans="1:14" x14ac:dyDescent="0.25">
      <c r="A14" s="11" t="s">
        <v>43</v>
      </c>
      <c r="B14" s="6"/>
      <c r="C14" s="6"/>
      <c r="D14" s="6">
        <v>3160</v>
      </c>
    </row>
    <row r="15" spans="1:14" x14ac:dyDescent="0.25">
      <c r="A15" s="11" t="s">
        <v>44</v>
      </c>
      <c r="B15" s="6"/>
      <c r="C15" s="6"/>
      <c r="D15" s="6">
        <v>3140</v>
      </c>
    </row>
    <row r="16" spans="1:14" x14ac:dyDescent="0.25">
      <c r="A16" s="11" t="s">
        <v>45</v>
      </c>
      <c r="B16" s="6"/>
      <c r="C16" s="6"/>
      <c r="D16" s="6">
        <v>3170</v>
      </c>
    </row>
    <row r="17" spans="1:4" x14ac:dyDescent="0.25">
      <c r="A17" s="11" t="s">
        <v>46</v>
      </c>
      <c r="B17" s="6"/>
      <c r="C17" s="6"/>
      <c r="D17" s="6">
        <v>3190</v>
      </c>
    </row>
    <row r="18" spans="1:4" x14ac:dyDescent="0.25">
      <c r="A18" s="11" t="s">
        <v>47</v>
      </c>
      <c r="B18" s="6"/>
      <c r="C18" s="6"/>
      <c r="D18" s="6">
        <v>3145</v>
      </c>
    </row>
    <row r="19" spans="1:4" x14ac:dyDescent="0.25">
      <c r="A19" s="11" t="s">
        <v>48</v>
      </c>
      <c r="B19" s="6"/>
      <c r="C19" s="6"/>
      <c r="D19" s="6">
        <v>3190</v>
      </c>
    </row>
    <row r="20" spans="1:4" x14ac:dyDescent="0.25">
      <c r="A20" s="11" t="s">
        <v>49</v>
      </c>
      <c r="B20" s="6"/>
      <c r="C20" s="6"/>
      <c r="D20" s="6">
        <v>3165</v>
      </c>
    </row>
    <row r="21" spans="1:4" x14ac:dyDescent="0.25">
      <c r="A21" s="11" t="s">
        <v>50</v>
      </c>
      <c r="B21" s="6"/>
      <c r="C21" s="6"/>
      <c r="D21" s="6">
        <v>3160</v>
      </c>
    </row>
    <row r="22" spans="1:4" x14ac:dyDescent="0.25">
      <c r="A22" s="11" t="s">
        <v>59</v>
      </c>
      <c r="B22" s="6"/>
      <c r="C22" s="6"/>
      <c r="D22" s="6">
        <v>3175</v>
      </c>
    </row>
    <row r="23" spans="1:4" x14ac:dyDescent="0.25">
      <c r="A23" s="11" t="s">
        <v>66</v>
      </c>
      <c r="B23" s="6"/>
      <c r="C23" s="6"/>
      <c r="D23" s="49">
        <v>3160</v>
      </c>
    </row>
    <row r="24" spans="1:4" x14ac:dyDescent="0.25">
      <c r="A24" s="11" t="s">
        <v>67</v>
      </c>
      <c r="B24" s="6"/>
      <c r="C24" s="6"/>
      <c r="D24" s="49">
        <v>3160</v>
      </c>
    </row>
    <row r="25" spans="1:4" x14ac:dyDescent="0.25">
      <c r="A25" s="11" t="s">
        <v>68</v>
      </c>
      <c r="B25" s="6"/>
      <c r="C25" s="6"/>
      <c r="D25" s="49">
        <v>3160</v>
      </c>
    </row>
    <row r="26" spans="1:4" x14ac:dyDescent="0.25">
      <c r="A26" s="11" t="s">
        <v>69</v>
      </c>
      <c r="B26" s="6"/>
      <c r="C26" s="6"/>
      <c r="D26" s="49">
        <v>3160</v>
      </c>
    </row>
    <row r="27" spans="1:4" x14ac:dyDescent="0.25">
      <c r="A27" s="11" t="s">
        <v>70</v>
      </c>
      <c r="B27" s="6"/>
      <c r="C27" s="6"/>
      <c r="D27" s="49">
        <v>3160</v>
      </c>
    </row>
    <row r="28" spans="1:4" x14ac:dyDescent="0.25">
      <c r="A28" s="11"/>
      <c r="B28" s="6"/>
      <c r="C28" s="6"/>
      <c r="D28" s="12"/>
    </row>
    <row r="29" spans="1:4" x14ac:dyDescent="0.25">
      <c r="A29" s="11"/>
      <c r="B29" s="6"/>
      <c r="C29" s="6"/>
      <c r="D29" s="12"/>
    </row>
    <row r="30" spans="1:4" x14ac:dyDescent="0.25">
      <c r="A30" s="11"/>
      <c r="B30" s="6"/>
      <c r="C30" s="6"/>
      <c r="D30" s="12"/>
    </row>
    <row r="31" spans="1:4" x14ac:dyDescent="0.25">
      <c r="A31" s="11"/>
      <c r="B31" s="6"/>
      <c r="C31" s="6"/>
      <c r="D31" s="12"/>
    </row>
    <row r="32" spans="1:4" x14ac:dyDescent="0.25">
      <c r="A32" s="11"/>
      <c r="B32" s="6"/>
      <c r="C32" s="6"/>
      <c r="D32" s="12"/>
    </row>
    <row r="33" spans="1:4" x14ac:dyDescent="0.25">
      <c r="A33" s="11"/>
      <c r="B33" s="6"/>
      <c r="C33" s="6"/>
      <c r="D33" s="12"/>
    </row>
    <row r="34" spans="1:4" x14ac:dyDescent="0.25">
      <c r="A34" s="11"/>
      <c r="B34" s="6"/>
      <c r="C34" s="6"/>
      <c r="D34" s="12"/>
    </row>
    <row r="35" spans="1:4" x14ac:dyDescent="0.25">
      <c r="A35" s="11"/>
      <c r="B35" s="6"/>
      <c r="C35" s="6"/>
      <c r="D35" s="12"/>
    </row>
    <row r="36" spans="1:4" ht="15.75" thickBot="1" x14ac:dyDescent="0.3">
      <c r="A36" s="11"/>
      <c r="B36" s="6"/>
      <c r="C36" s="6"/>
      <c r="D36" s="12"/>
    </row>
    <row r="37" spans="1:4" ht="15.75" thickBot="1" x14ac:dyDescent="0.3">
      <c r="A37" s="52"/>
      <c r="B37" s="53"/>
      <c r="C37" s="53"/>
      <c r="D37" s="54"/>
    </row>
    <row r="38" spans="1:4" ht="15.75" thickBot="1" x14ac:dyDescent="0.3">
      <c r="A38" s="7"/>
      <c r="B38" s="7"/>
      <c r="C38" s="7"/>
      <c r="D38" s="7"/>
    </row>
    <row r="39" spans="1:4" ht="15.75" thickBot="1" x14ac:dyDescent="0.3">
      <c r="A39" s="7"/>
      <c r="B39" s="13" t="str">
        <f>D3</f>
        <v>P/P</v>
      </c>
      <c r="C39" s="7"/>
      <c r="D39" s="7"/>
    </row>
    <row r="40" spans="1:4" ht="15.75" thickBot="1" x14ac:dyDescent="0.3">
      <c r="A40" s="14" t="s">
        <v>71</v>
      </c>
      <c r="B40" s="48">
        <f>MEDIAN(D5:D22)</f>
        <v>3160</v>
      </c>
      <c r="C40" s="7"/>
      <c r="D40" s="7"/>
    </row>
    <row r="41" spans="1:4" x14ac:dyDescent="0.25">
      <c r="A41" s="11" t="s">
        <v>5</v>
      </c>
      <c r="B41" s="51">
        <f>MAX(D5:D22)</f>
        <v>3190</v>
      </c>
      <c r="C41" s="7"/>
      <c r="D41" s="7"/>
    </row>
    <row r="42" spans="1:4" ht="30" customHeight="1" x14ac:dyDescent="0.25">
      <c r="A42" s="11" t="s">
        <v>6</v>
      </c>
      <c r="B42" s="51">
        <f>MIN(D5:D22)</f>
        <v>3120</v>
      </c>
      <c r="C42" s="7"/>
      <c r="D42" s="7"/>
    </row>
    <row r="43" spans="1:4" ht="15.75" thickBot="1" x14ac:dyDescent="0.3">
      <c r="A43" s="15" t="s">
        <v>7</v>
      </c>
      <c r="B43" s="16">
        <f>B41-B42</f>
        <v>70</v>
      </c>
      <c r="C43" s="7"/>
      <c r="D43" s="7"/>
    </row>
    <row r="44" spans="1:4" ht="15.75" thickBot="1" x14ac:dyDescent="0.3">
      <c r="A44" s="7"/>
      <c r="B44" s="7"/>
      <c r="C44" s="7"/>
    </row>
    <row r="45" spans="1:4" x14ac:dyDescent="0.25">
      <c r="A45" s="55" t="s">
        <v>10</v>
      </c>
      <c r="B45" s="43"/>
      <c r="C45" s="44"/>
    </row>
    <row r="46" spans="1:4" ht="15.75" thickBot="1" x14ac:dyDescent="0.3">
      <c r="A46" s="56"/>
      <c r="B46" s="45"/>
      <c r="C46" s="46"/>
    </row>
  </sheetData>
  <mergeCells count="3">
    <mergeCell ref="A2:D2"/>
    <mergeCell ref="A45:A46"/>
    <mergeCell ref="A37:D37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7B0A-3B4F-40A7-A166-4FCAEB408FC2}">
  <sheetPr>
    <pageSetUpPr fitToPage="1"/>
  </sheetPr>
  <dimension ref="A1:F54"/>
  <sheetViews>
    <sheetView tabSelected="1" view="pageLayout" topLeftCell="A6" zoomScale="85" zoomScaleNormal="100" zoomScalePageLayoutView="85" workbookViewId="0">
      <selection activeCell="A24" sqref="A24:F29"/>
    </sheetView>
  </sheetViews>
  <sheetFormatPr defaultColWidth="14.140625" defaultRowHeight="17.25" x14ac:dyDescent="0.3"/>
  <cols>
    <col min="1" max="1" width="19.85546875" style="24" bestFit="1" customWidth="1"/>
    <col min="2" max="2" width="10.140625" style="24" customWidth="1"/>
    <col min="3" max="3" width="24.85546875" style="24" customWidth="1"/>
    <col min="4" max="4" width="68" style="24" customWidth="1"/>
    <col min="5" max="5" width="10.42578125" style="24" customWidth="1"/>
    <col min="6" max="6" width="15" style="17" customWidth="1"/>
    <col min="7" max="16384" width="14.140625" style="24"/>
  </cols>
  <sheetData>
    <row r="1" spans="1:6" ht="21.75" customHeight="1" x14ac:dyDescent="0.3">
      <c r="A1" s="69" t="s">
        <v>25</v>
      </c>
      <c r="B1" s="70"/>
      <c r="C1" s="30" t="s">
        <v>14</v>
      </c>
      <c r="D1" s="30" t="s">
        <v>21</v>
      </c>
      <c r="E1" s="70" t="s">
        <v>24</v>
      </c>
      <c r="F1" s="71"/>
    </row>
    <row r="2" spans="1:6" ht="30" customHeight="1" thickBot="1" x14ac:dyDescent="0.35">
      <c r="A2" s="72" t="s">
        <v>53</v>
      </c>
      <c r="B2" s="73"/>
      <c r="C2" s="31" t="s">
        <v>61</v>
      </c>
      <c r="D2" s="31" t="s">
        <v>62</v>
      </c>
      <c r="E2" s="74">
        <v>46177</v>
      </c>
      <c r="F2" s="75"/>
    </row>
    <row r="3" spans="1:6" x14ac:dyDescent="0.3">
      <c r="C3" s="25"/>
      <c r="E3" s="3"/>
    </row>
    <row r="4" spans="1:6" ht="54" x14ac:dyDescent="0.3">
      <c r="A4" s="32" t="s">
        <v>0</v>
      </c>
      <c r="B4" s="33" t="s">
        <v>3</v>
      </c>
      <c r="C4" s="32" t="s">
        <v>26</v>
      </c>
      <c r="D4" s="32" t="s">
        <v>18</v>
      </c>
      <c r="E4" s="32" t="s">
        <v>22</v>
      </c>
      <c r="F4" s="34" t="s">
        <v>27</v>
      </c>
    </row>
    <row r="5" spans="1:6" ht="18" customHeight="1" x14ac:dyDescent="0.3">
      <c r="A5" s="98" t="s">
        <v>72</v>
      </c>
      <c r="B5" s="98">
        <v>1</v>
      </c>
      <c r="C5" s="98" t="s">
        <v>73</v>
      </c>
      <c r="D5" s="98" t="s">
        <v>74</v>
      </c>
      <c r="E5" s="98"/>
      <c r="F5" s="99"/>
    </row>
    <row r="6" spans="1:6" ht="18" customHeight="1" x14ac:dyDescent="0.3">
      <c r="A6" s="100" t="s">
        <v>75</v>
      </c>
      <c r="B6" s="100">
        <v>3</v>
      </c>
      <c r="C6" s="100" t="s">
        <v>76</v>
      </c>
      <c r="D6" s="100" t="s">
        <v>77</v>
      </c>
      <c r="E6" s="100"/>
      <c r="F6" s="101"/>
    </row>
    <row r="7" spans="1:6" ht="18" customHeight="1" x14ac:dyDescent="0.3">
      <c r="A7" s="100" t="s">
        <v>81</v>
      </c>
      <c r="B7" s="100">
        <v>3</v>
      </c>
      <c r="C7" s="100" t="s">
        <v>82</v>
      </c>
      <c r="D7" s="100" t="s">
        <v>83</v>
      </c>
      <c r="E7" s="100"/>
      <c r="F7" s="101"/>
    </row>
    <row r="8" spans="1:6" ht="18" customHeight="1" x14ac:dyDescent="0.3">
      <c r="A8" s="100" t="s">
        <v>84</v>
      </c>
      <c r="B8" s="100">
        <v>4</v>
      </c>
      <c r="C8" s="100" t="s">
        <v>85</v>
      </c>
      <c r="D8" s="100" t="s">
        <v>86</v>
      </c>
      <c r="E8" s="100"/>
      <c r="F8" s="101"/>
    </row>
    <row r="9" spans="1:6" ht="18" customHeight="1" x14ac:dyDescent="0.3">
      <c r="A9" s="41" t="s">
        <v>87</v>
      </c>
      <c r="B9" s="41">
        <v>1</v>
      </c>
      <c r="C9" s="41" t="s">
        <v>88</v>
      </c>
      <c r="D9" s="41" t="s">
        <v>89</v>
      </c>
      <c r="E9" s="41"/>
      <c r="F9" s="1"/>
    </row>
    <row r="10" spans="1:6" x14ac:dyDescent="0.3">
      <c r="A10" s="102" t="s">
        <v>90</v>
      </c>
      <c r="B10" s="102">
        <v>5</v>
      </c>
      <c r="C10" s="102" t="s">
        <v>91</v>
      </c>
      <c r="D10" s="102" t="s">
        <v>92</v>
      </c>
      <c r="E10" s="102"/>
      <c r="F10" s="103"/>
    </row>
    <row r="11" spans="1:6" ht="18" customHeight="1" x14ac:dyDescent="0.3">
      <c r="A11" s="102" t="s">
        <v>93</v>
      </c>
      <c r="B11" s="102">
        <v>1</v>
      </c>
      <c r="C11" s="102" t="s">
        <v>94</v>
      </c>
      <c r="D11" s="102" t="s">
        <v>95</v>
      </c>
      <c r="E11" s="102"/>
      <c r="F11" s="103"/>
    </row>
    <row r="12" spans="1:6" ht="18" customHeight="1" x14ac:dyDescent="0.3">
      <c r="A12" s="102" t="s">
        <v>96</v>
      </c>
      <c r="B12" s="102">
        <v>4</v>
      </c>
      <c r="C12" s="102" t="s">
        <v>97</v>
      </c>
      <c r="D12" s="102" t="s">
        <v>98</v>
      </c>
      <c r="E12" s="102"/>
      <c r="F12" s="103"/>
    </row>
    <row r="13" spans="1:6" ht="18" customHeight="1" x14ac:dyDescent="0.3">
      <c r="A13" s="102" t="s">
        <v>99</v>
      </c>
      <c r="B13" s="102">
        <v>8</v>
      </c>
      <c r="C13" s="102" t="s">
        <v>100</v>
      </c>
      <c r="D13" s="102" t="s">
        <v>101</v>
      </c>
      <c r="E13" s="102"/>
      <c r="F13" s="103"/>
    </row>
    <row r="14" spans="1:6" ht="18" customHeight="1" x14ac:dyDescent="0.3">
      <c r="A14" s="102" t="s">
        <v>102</v>
      </c>
      <c r="B14" s="102">
        <v>1</v>
      </c>
      <c r="C14" s="102" t="s">
        <v>103</v>
      </c>
      <c r="D14" s="102" t="s">
        <v>104</v>
      </c>
      <c r="E14" s="102"/>
      <c r="F14" s="103"/>
    </row>
    <row r="15" spans="1:6" x14ac:dyDescent="0.3">
      <c r="A15" s="104" t="s">
        <v>105</v>
      </c>
      <c r="B15" s="104">
        <v>1</v>
      </c>
      <c r="C15" s="104" t="s">
        <v>106</v>
      </c>
      <c r="D15" s="104" t="s">
        <v>107</v>
      </c>
      <c r="E15" s="104"/>
      <c r="F15" s="105"/>
    </row>
    <row r="16" spans="1:6" ht="18" customHeight="1" x14ac:dyDescent="0.3">
      <c r="A16" s="104" t="s">
        <v>111</v>
      </c>
      <c r="B16" s="104">
        <v>1</v>
      </c>
      <c r="C16" s="104" t="s">
        <v>112</v>
      </c>
      <c r="D16" s="104" t="s">
        <v>113</v>
      </c>
      <c r="E16" s="104"/>
      <c r="F16" s="105"/>
    </row>
    <row r="17" spans="1:6" ht="18" customHeight="1" x14ac:dyDescent="0.3">
      <c r="A17" s="104" t="s">
        <v>114</v>
      </c>
      <c r="B17" s="104">
        <v>1</v>
      </c>
      <c r="C17" s="104" t="s">
        <v>115</v>
      </c>
      <c r="D17" s="104" t="s">
        <v>116</v>
      </c>
      <c r="E17" s="104"/>
      <c r="F17" s="105"/>
    </row>
    <row r="18" spans="1:6" x14ac:dyDescent="0.3">
      <c r="A18" s="104" t="s">
        <v>120</v>
      </c>
      <c r="B18" s="104">
        <v>3</v>
      </c>
      <c r="C18" s="104" t="s">
        <v>115</v>
      </c>
      <c r="D18" s="104" t="s">
        <v>116</v>
      </c>
      <c r="E18" s="104"/>
      <c r="F18" s="105"/>
    </row>
    <row r="19" spans="1:6" x14ac:dyDescent="0.3">
      <c r="A19" s="104" t="s">
        <v>121</v>
      </c>
      <c r="B19" s="104">
        <v>1</v>
      </c>
      <c r="C19" s="104" t="s">
        <v>122</v>
      </c>
      <c r="D19" s="104" t="s">
        <v>123</v>
      </c>
      <c r="E19" s="104"/>
      <c r="F19" s="105"/>
    </row>
    <row r="20" spans="1:6" x14ac:dyDescent="0.3">
      <c r="A20" s="104" t="s">
        <v>127</v>
      </c>
      <c r="B20" s="104">
        <v>1</v>
      </c>
      <c r="C20" s="104" t="s">
        <v>128</v>
      </c>
      <c r="D20" s="104" t="s">
        <v>129</v>
      </c>
      <c r="E20" s="104"/>
      <c r="F20" s="105"/>
    </row>
    <row r="21" spans="1:6" x14ac:dyDescent="0.3">
      <c r="A21" s="104" t="s">
        <v>133</v>
      </c>
      <c r="B21" s="104">
        <v>1</v>
      </c>
      <c r="C21" s="104" t="s">
        <v>134</v>
      </c>
      <c r="D21" s="104" t="s">
        <v>135</v>
      </c>
      <c r="E21" s="104"/>
      <c r="F21" s="105"/>
    </row>
    <row r="22" spans="1:6" x14ac:dyDescent="0.3">
      <c r="A22" s="104" t="s">
        <v>139</v>
      </c>
      <c r="B22" s="104">
        <v>1</v>
      </c>
      <c r="C22" s="104" t="s">
        <v>140</v>
      </c>
      <c r="D22" s="104" t="s">
        <v>141</v>
      </c>
      <c r="E22" s="104"/>
      <c r="F22" s="105"/>
    </row>
    <row r="23" spans="1:6" x14ac:dyDescent="0.3">
      <c r="A23" s="41" t="s">
        <v>142</v>
      </c>
      <c r="B23" s="41">
        <v>1</v>
      </c>
      <c r="C23" s="41" t="s">
        <v>143</v>
      </c>
      <c r="D23" s="41" t="s">
        <v>144</v>
      </c>
      <c r="E23" s="41"/>
      <c r="F23" s="1"/>
    </row>
    <row r="24" spans="1:6" x14ac:dyDescent="0.3">
      <c r="A24" s="100" t="s">
        <v>145</v>
      </c>
      <c r="B24" s="100">
        <v>7</v>
      </c>
      <c r="C24" s="100" t="s">
        <v>76</v>
      </c>
      <c r="D24" s="100" t="s">
        <v>77</v>
      </c>
      <c r="E24" s="100"/>
      <c r="F24" s="101"/>
    </row>
    <row r="25" spans="1:6" x14ac:dyDescent="0.3">
      <c r="A25" s="100" t="s">
        <v>146</v>
      </c>
      <c r="B25" s="100">
        <v>1</v>
      </c>
      <c r="C25" s="100" t="s">
        <v>147</v>
      </c>
      <c r="D25" s="100" t="s">
        <v>148</v>
      </c>
      <c r="E25" s="100"/>
      <c r="F25" s="101"/>
    </row>
    <row r="26" spans="1:6" x14ac:dyDescent="0.3">
      <c r="A26" s="100" t="s">
        <v>149</v>
      </c>
      <c r="B26" s="100">
        <v>6</v>
      </c>
      <c r="C26" s="100" t="s">
        <v>82</v>
      </c>
      <c r="D26" s="100" t="s">
        <v>83</v>
      </c>
      <c r="E26" s="100"/>
      <c r="F26" s="101"/>
    </row>
    <row r="27" spans="1:6" x14ac:dyDescent="0.3">
      <c r="A27" s="100" t="s">
        <v>150</v>
      </c>
      <c r="B27" s="100">
        <v>2</v>
      </c>
      <c r="C27" s="100" t="s">
        <v>85</v>
      </c>
      <c r="D27" s="100" t="s">
        <v>151</v>
      </c>
      <c r="E27" s="100"/>
      <c r="F27" s="101"/>
    </row>
    <row r="28" spans="1:6" x14ac:dyDescent="0.3">
      <c r="A28" s="100" t="s">
        <v>152</v>
      </c>
      <c r="B28" s="100">
        <v>10</v>
      </c>
      <c r="C28" s="100" t="s">
        <v>153</v>
      </c>
      <c r="D28" s="100" t="s">
        <v>154</v>
      </c>
      <c r="E28" s="100"/>
      <c r="F28" s="101"/>
    </row>
    <row r="29" spans="1:6" x14ac:dyDescent="0.3">
      <c r="A29" s="100" t="s">
        <v>155</v>
      </c>
      <c r="B29" s="100">
        <v>1</v>
      </c>
      <c r="C29" s="100" t="s">
        <v>156</v>
      </c>
      <c r="D29" s="100" t="s">
        <v>157</v>
      </c>
      <c r="E29" s="100"/>
      <c r="F29" s="101"/>
    </row>
    <row r="30" spans="1:6" x14ac:dyDescent="0.3">
      <c r="A30" s="41" t="s">
        <v>55</v>
      </c>
      <c r="B30" s="41">
        <v>16</v>
      </c>
      <c r="C30" s="41" t="s">
        <v>55</v>
      </c>
      <c r="D30" s="41" t="s">
        <v>56</v>
      </c>
      <c r="E30" s="41"/>
      <c r="F30" s="1"/>
    </row>
    <row r="31" spans="1:6" x14ac:dyDescent="0.3">
      <c r="A31" s="41"/>
      <c r="B31" s="41">
        <v>96</v>
      </c>
      <c r="C31" s="41" t="s">
        <v>51</v>
      </c>
      <c r="D31" s="41" t="s">
        <v>52</v>
      </c>
      <c r="E31" s="41"/>
      <c r="F31" s="1"/>
    </row>
    <row r="32" spans="1:6" x14ac:dyDescent="0.3">
      <c r="A32" s="41"/>
      <c r="B32" s="41">
        <v>16</v>
      </c>
      <c r="C32" s="41" t="s">
        <v>57</v>
      </c>
      <c r="D32" s="41" t="s">
        <v>58</v>
      </c>
      <c r="E32" s="41"/>
      <c r="F32" s="1"/>
    </row>
    <row r="33" spans="1:6" x14ac:dyDescent="0.3">
      <c r="A33" s="41"/>
      <c r="B33" s="41">
        <v>50</v>
      </c>
      <c r="C33" s="41" t="s">
        <v>63</v>
      </c>
      <c r="D33" s="41" t="s">
        <v>64</v>
      </c>
      <c r="E33" s="41"/>
      <c r="F33" s="1"/>
    </row>
    <row r="34" spans="1:6" ht="17.25" customHeight="1" x14ac:dyDescent="0.3">
      <c r="A34" s="41"/>
      <c r="B34" s="41">
        <v>50</v>
      </c>
      <c r="C34" s="41" t="s">
        <v>65</v>
      </c>
      <c r="D34" s="41" t="s">
        <v>64</v>
      </c>
      <c r="E34" s="41"/>
      <c r="F34" s="1"/>
    </row>
    <row r="35" spans="1:6" ht="17.25" customHeight="1" x14ac:dyDescent="0.3">
      <c r="A35" s="41"/>
      <c r="B35" s="41"/>
      <c r="C35" s="41"/>
      <c r="D35" s="41"/>
      <c r="E35" s="41"/>
      <c r="F35" s="41"/>
    </row>
    <row r="36" spans="1:6" s="3" customFormat="1" ht="17.25" customHeight="1" thickBot="1" x14ac:dyDescent="0.35">
      <c r="A36" s="2"/>
      <c r="B36" s="2"/>
      <c r="C36" s="1"/>
      <c r="D36" s="24"/>
      <c r="E36" s="24"/>
      <c r="F36" s="24"/>
    </row>
    <row r="37" spans="1:6" s="3" customFormat="1" ht="17.25" customHeight="1" x14ac:dyDescent="0.25">
      <c r="A37" s="76" t="s">
        <v>28</v>
      </c>
      <c r="B37" s="77"/>
      <c r="C37" s="77"/>
      <c r="D37" s="77"/>
      <c r="E37" s="77"/>
      <c r="F37" s="78"/>
    </row>
    <row r="38" spans="1:6" s="3" customFormat="1" ht="17.25" customHeight="1" x14ac:dyDescent="0.25">
      <c r="A38" s="60" t="s">
        <v>60</v>
      </c>
      <c r="B38" s="61"/>
      <c r="C38" s="61"/>
      <c r="D38" s="61"/>
      <c r="E38" s="61"/>
      <c r="F38" s="62"/>
    </row>
    <row r="39" spans="1:6" s="3" customFormat="1" ht="17.25" customHeight="1" x14ac:dyDescent="0.25">
      <c r="A39" s="63"/>
      <c r="B39" s="64"/>
      <c r="C39" s="64"/>
      <c r="D39" s="64"/>
      <c r="E39" s="64"/>
      <c r="F39" s="65"/>
    </row>
    <row r="40" spans="1:6" ht="17.25" customHeight="1" x14ac:dyDescent="0.3">
      <c r="A40" s="63"/>
      <c r="B40" s="64"/>
      <c r="C40" s="64"/>
      <c r="D40" s="64"/>
      <c r="E40" s="64"/>
      <c r="F40" s="65"/>
    </row>
    <row r="41" spans="1:6" ht="17.25" customHeight="1" x14ac:dyDescent="0.3">
      <c r="A41" s="63"/>
      <c r="B41" s="64"/>
      <c r="C41" s="64"/>
      <c r="D41" s="64"/>
      <c r="E41" s="64"/>
      <c r="F41" s="65"/>
    </row>
    <row r="42" spans="1:6" x14ac:dyDescent="0.3">
      <c r="A42" s="63"/>
      <c r="B42" s="64"/>
      <c r="C42" s="64"/>
      <c r="D42" s="64"/>
      <c r="E42" s="64"/>
      <c r="F42" s="65"/>
    </row>
    <row r="43" spans="1:6" x14ac:dyDescent="0.3">
      <c r="A43" s="63"/>
      <c r="B43" s="64"/>
      <c r="C43" s="64"/>
      <c r="D43" s="64"/>
      <c r="E43" s="64"/>
      <c r="F43" s="65"/>
    </row>
    <row r="44" spans="1:6" ht="18" thickBot="1" x14ac:dyDescent="0.35">
      <c r="A44" s="66"/>
      <c r="B44" s="67"/>
      <c r="C44" s="67"/>
      <c r="D44" s="67"/>
      <c r="E44" s="67"/>
      <c r="F44" s="68"/>
    </row>
    <row r="45" spans="1:6" ht="18" thickBot="1" x14ac:dyDescent="0.35">
      <c r="A45" s="1"/>
      <c r="B45" s="1"/>
      <c r="C45" s="1"/>
      <c r="D45" s="1"/>
      <c r="E45" s="1"/>
      <c r="F45" s="1"/>
    </row>
    <row r="46" spans="1:6" x14ac:dyDescent="0.3">
      <c r="A46" s="84" t="s">
        <v>29</v>
      </c>
      <c r="B46" s="85"/>
      <c r="C46" s="85"/>
      <c r="D46" s="85"/>
      <c r="E46" s="85"/>
      <c r="F46" s="86"/>
    </row>
    <row r="47" spans="1:6" ht="18" customHeight="1" x14ac:dyDescent="0.3">
      <c r="A47" s="35" t="s">
        <v>20</v>
      </c>
      <c r="B47" s="87"/>
      <c r="C47" s="88"/>
      <c r="D47" s="89"/>
      <c r="E47" s="26" t="s">
        <v>23</v>
      </c>
      <c r="F47" s="42"/>
    </row>
    <row r="48" spans="1:6" ht="28.9" customHeight="1" x14ac:dyDescent="0.3">
      <c r="A48" s="35" t="s">
        <v>20</v>
      </c>
      <c r="B48" s="87"/>
      <c r="C48" s="88"/>
      <c r="D48" s="89"/>
      <c r="E48" s="26" t="s">
        <v>23</v>
      </c>
      <c r="F48" s="42"/>
    </row>
    <row r="49" spans="1:6" ht="28.9" customHeight="1" thickBot="1" x14ac:dyDescent="0.35">
      <c r="A49" s="35" t="s">
        <v>20</v>
      </c>
      <c r="B49" s="87"/>
      <c r="C49" s="88"/>
      <c r="D49" s="89"/>
      <c r="E49" s="36" t="s">
        <v>23</v>
      </c>
      <c r="F49" s="42"/>
    </row>
    <row r="50" spans="1:6" ht="28.9" customHeight="1" thickBot="1" x14ac:dyDescent="0.35"/>
    <row r="51" spans="1:6" x14ac:dyDescent="0.3">
      <c r="A51" s="90" t="s">
        <v>30</v>
      </c>
      <c r="B51" s="91"/>
      <c r="C51" s="91"/>
      <c r="D51" s="91"/>
      <c r="E51" s="91"/>
      <c r="F51" s="92"/>
    </row>
    <row r="52" spans="1:6" x14ac:dyDescent="0.3">
      <c r="A52" s="93" t="s">
        <v>31</v>
      </c>
      <c r="B52" s="94"/>
      <c r="C52" s="94"/>
      <c r="D52" s="37"/>
      <c r="E52" s="26" t="s">
        <v>23</v>
      </c>
      <c r="F52" s="38"/>
    </row>
    <row r="53" spans="1:6" ht="18" thickBot="1" x14ac:dyDescent="0.35">
      <c r="A53" s="79" t="s">
        <v>32</v>
      </c>
      <c r="B53" s="80"/>
      <c r="C53" s="80"/>
      <c r="D53" s="39"/>
      <c r="E53" s="28" t="s">
        <v>23</v>
      </c>
      <c r="F53" s="29"/>
    </row>
    <row r="54" spans="1:6" ht="18" thickBot="1" x14ac:dyDescent="0.35">
      <c r="A54" s="81" t="s">
        <v>33</v>
      </c>
      <c r="B54" s="82"/>
      <c r="C54" s="83"/>
      <c r="D54" s="39"/>
      <c r="E54" s="28" t="s">
        <v>23</v>
      </c>
      <c r="F54" s="29"/>
    </row>
  </sheetData>
  <mergeCells count="14">
    <mergeCell ref="A53:C53"/>
    <mergeCell ref="A54:C54"/>
    <mergeCell ref="A46:F46"/>
    <mergeCell ref="B47:D47"/>
    <mergeCell ref="B48:D48"/>
    <mergeCell ref="B49:D49"/>
    <mergeCell ref="A51:F51"/>
    <mergeCell ref="A52:C52"/>
    <mergeCell ref="A38:F44"/>
    <mergeCell ref="A1:B1"/>
    <mergeCell ref="E1:F1"/>
    <mergeCell ref="A2:B2"/>
    <mergeCell ref="E2:F2"/>
    <mergeCell ref="A37:F37"/>
  </mergeCells>
  <phoneticPr fontId="2" type="noConversion"/>
  <printOptions horizontalCentered="1" verticalCentered="1"/>
  <pageMargins left="0.23622047244094491" right="0.23622047244094491" top="1.0236220472440944" bottom="0.74803149606299213" header="0.31496062992125984" footer="0.31496062992125984"/>
  <pageSetup paperSize="9" scale="67" orientation="portrait" verticalDpi="360" r:id="rId1"/>
  <headerFooter>
    <oddHeader xml:space="preserve">&amp;L&amp;G&amp;R&amp;"Century Gothic,Normal"&amp;12&amp;D              
&amp;T                    </oddHead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Medição</vt:lpstr>
      <vt:lpstr>1ª Entrega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França</dc:creator>
  <cp:lastModifiedBy>TI - HB Holec Barras</cp:lastModifiedBy>
  <cp:lastPrinted>2026-05-09T13:55:41Z</cp:lastPrinted>
  <dcterms:created xsi:type="dcterms:W3CDTF">2019-03-01T12:42:30Z</dcterms:created>
  <dcterms:modified xsi:type="dcterms:W3CDTF">2026-05-16T12:18:18Z</dcterms:modified>
</cp:coreProperties>
</file>